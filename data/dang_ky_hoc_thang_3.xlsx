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Thi giua ki\starter-kit\starter-kit\ngoai-ngu-website\data\"/>
    </mc:Choice>
  </mc:AlternateContent>
  <xr:revisionPtr revIDLastSave="0" documentId="13_ncr:1_{4B5127FD-4E2D-42CD-A641-8E30D9D45E06}" xr6:coauthVersionLast="47" xr6:coauthVersionMax="47" xr10:uidLastSave="{00000000-0000-0000-0000-000000000000}"/>
  <bookViews>
    <workbookView xWindow="12140" yWindow="0" windowWidth="13550" windowHeight="16090" xr2:uid="{00000000-000D-0000-FFFF-FFFF00000000}"/>
  </bookViews>
  <sheets>
    <sheet name="DangKyHoc" sheetId="1" r:id="rId1"/>
    <sheet name="KhoaH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 s="1"/>
  <c r="E4" i="1"/>
  <c r="F4" i="1"/>
  <c r="G4" i="1" s="1"/>
  <c r="E5" i="1"/>
  <c r="F5" i="1"/>
  <c r="G5" i="1" s="1"/>
  <c r="E6" i="1"/>
  <c r="F6" i="1"/>
  <c r="G6" i="1" s="1"/>
  <c r="E7" i="1"/>
  <c r="F7" i="1"/>
  <c r="G7" i="1" s="1"/>
  <c r="E8" i="1"/>
  <c r="F8" i="1"/>
  <c r="G8" i="1" s="1"/>
  <c r="E9" i="1"/>
  <c r="F9" i="1"/>
  <c r="G9" i="1" s="1"/>
  <c r="E10" i="1"/>
  <c r="F10" i="1"/>
  <c r="G10" i="1" s="1"/>
  <c r="E11" i="1"/>
  <c r="F11" i="1"/>
  <c r="G11" i="1" s="1"/>
  <c r="E12" i="1"/>
  <c r="F12" i="1"/>
  <c r="G12" i="1" s="1"/>
  <c r="E13" i="1"/>
  <c r="F13" i="1"/>
  <c r="G13" i="1" s="1"/>
  <c r="E14" i="1"/>
  <c r="F14" i="1"/>
  <c r="G14" i="1" s="1"/>
  <c r="E15" i="1"/>
  <c r="F15" i="1"/>
  <c r="G15" i="1" s="1"/>
  <c r="E16" i="1"/>
  <c r="F16" i="1"/>
  <c r="G16" i="1" s="1"/>
  <c r="F2" i="1"/>
  <c r="G2" i="1" s="1"/>
  <c r="E2" i="1"/>
</calcChain>
</file>

<file path=xl/sharedStrings.xml><?xml version="1.0" encoding="utf-8"?>
<sst xmlns="http://schemas.openxmlformats.org/spreadsheetml/2006/main" count="69" uniqueCount="51">
  <si>
    <t>ma_phieu_dk</t>
  </si>
  <si>
    <t>ngay_dk</t>
  </si>
  <si>
    <t>ma_kh</t>
  </si>
  <si>
    <t>so_hoc_vien</t>
  </si>
  <si>
    <t>ten_kh</t>
  </si>
  <si>
    <t>hoc_phi</t>
  </si>
  <si>
    <t>tong_hoc_phi</t>
  </si>
  <si>
    <t>PDK001</t>
  </si>
  <si>
    <t>2026-03-01</t>
  </si>
  <si>
    <t>TA01</t>
  </si>
  <si>
    <t>PDK002</t>
  </si>
  <si>
    <t>2026-03-02</t>
  </si>
  <si>
    <t>PDK003</t>
  </si>
  <si>
    <t>2026-03-03</t>
  </si>
  <si>
    <t>TN01</t>
  </si>
  <si>
    <t>PDK004</t>
  </si>
  <si>
    <t>2026-03-04</t>
  </si>
  <si>
    <t>TH01</t>
  </si>
  <si>
    <t>PDK005</t>
  </si>
  <si>
    <t>2026-03-05</t>
  </si>
  <si>
    <t>TE01</t>
  </si>
  <si>
    <t>PDK006</t>
  </si>
  <si>
    <t>2026-03-06</t>
  </si>
  <si>
    <t>PDK007</t>
  </si>
  <si>
    <t>2026-03-07</t>
  </si>
  <si>
    <t>PDK008</t>
  </si>
  <si>
    <t>2026-03-08</t>
  </si>
  <si>
    <t>PDK009</t>
  </si>
  <si>
    <t>2026-03-09</t>
  </si>
  <si>
    <t>TA02</t>
  </si>
  <si>
    <t>PDK010</t>
  </si>
  <si>
    <t>2026-03-10</t>
  </si>
  <si>
    <t>PDK011</t>
  </si>
  <si>
    <t>2026-03-11</t>
  </si>
  <si>
    <t>TT01</t>
  </si>
  <si>
    <t>PDK012</t>
  </si>
  <si>
    <t>2026-03-12</t>
  </si>
  <si>
    <t>PDK013</t>
  </si>
  <si>
    <t>2026-03-13</t>
  </si>
  <si>
    <t>PDK014</t>
  </si>
  <si>
    <t>2026-03-14</t>
  </si>
  <si>
    <t>TA03</t>
  </si>
  <si>
    <t>PDK015</t>
  </si>
  <si>
    <t>2026-03-15</t>
  </si>
  <si>
    <t>Tieng Anh giao tiep</t>
  </si>
  <si>
    <t>IELTS nen tang</t>
  </si>
  <si>
    <t>TOEIC 550</t>
  </si>
  <si>
    <t>Tieng Nhat N5</t>
  </si>
  <si>
    <t>Tieng Han so cap</t>
  </si>
  <si>
    <t>Tieng Trung HSK1</t>
  </si>
  <si>
    <t>Tieng Anh tre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</si>
</sst>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1AA2B-378E-4F28-A1E0-9A09820D33C6}" name="Table1" displayName="Table1" ref="A1:G16" totalsRowShown="0">
  <autoFilter ref="A1:G16" xr:uid="{7971AA2B-378E-4F28-A1E0-9A09820D33C6}">
    <filterColumn colId="6">
      <filters>
        <filter val="12500000"/>
        <filter val="12800000"/>
        <filter val="14000000"/>
        <filter val="15000000"/>
        <filter val="17500000"/>
        <filter val="18000000"/>
        <filter val="9000000"/>
        <filter val="9600000"/>
      </filters>
    </filterColumn>
  </autoFilter>
  <tableColumns count="7">
    <tableColumn id="1" xr3:uid="{93E98AEF-8243-4253-A935-3E6E87E63053}" name="ma_phieu_dk"/>
    <tableColumn id="2" xr3:uid="{286CBA47-304D-492B-BAF1-18F934D95B6F}" name="ngay_dk"/>
    <tableColumn id="3" xr3:uid="{EEAA1F52-E9F5-47EF-8199-DEDEA7D0A0D7}" name="ma_kh"/>
    <tableColumn id="4" xr3:uid="{5B6A9C59-5042-4820-B381-B0157FE22AC9}" name="so_hoc_vien"/>
    <tableColumn id="5" xr3:uid="{21E14054-020C-4AD8-A07B-C412650E56BE}" name="ten_kh">
      <calculatedColumnFormula>VLOOKUP(C2,KhoaHoc!$A$2:$C$8,2,0)</calculatedColumnFormula>
    </tableColumn>
    <tableColumn id="6" xr3:uid="{F6E0F9E3-C308-4A2E-BA78-C5DFCD7CCC85}" name="hoc_phi">
      <calculatedColumnFormula>VLOOKUP(C2,KhoaHoc!$A$2:$C$8,3,0)</calculatedColumnFormula>
    </tableColumn>
    <tableColumn id="7" xr3:uid="{A491AABA-7326-4F84-BC82-C3B7AE35BB47}" name="tong_hoc_phi">
      <calculatedColumnFormula>D2*F2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7" sqref="E17"/>
    </sheetView>
  </sheetViews>
  <sheetFormatPr defaultRowHeight="14.5" x14ac:dyDescent="0.35"/>
  <cols>
    <col min="1" max="4" width="15" customWidth="1"/>
    <col min="5" max="5" width="16.7265625" bestFit="1" customWidth="1"/>
    <col min="6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B2" t="s">
        <v>8</v>
      </c>
      <c r="C2" t="s">
        <v>9</v>
      </c>
      <c r="D2">
        <v>1</v>
      </c>
      <c r="E2" t="str">
        <f>VLOOKUP(C2,KhoaHoc!$A$2:$C$8,2,0)</f>
        <v>Tieng Anh giao tiep</v>
      </c>
      <c r="F2">
        <f>VLOOKUP(C2,KhoaHoc!$A$2:$C$8,3,0)</f>
        <v>2500000</v>
      </c>
      <c r="G2">
        <f>D2*F2</f>
        <v>2500000</v>
      </c>
    </row>
    <row r="3" spans="1:7" x14ac:dyDescent="0.35">
      <c r="A3" t="s">
        <v>10</v>
      </c>
      <c r="B3" t="s">
        <v>11</v>
      </c>
      <c r="C3" t="s">
        <v>9</v>
      </c>
      <c r="D3">
        <v>5</v>
      </c>
      <c r="E3" t="str">
        <f>VLOOKUP(C3,KhoaHoc!$A$2:$C$8,2,0)</f>
        <v>Tieng Anh giao tiep</v>
      </c>
      <c r="F3">
        <f>VLOOKUP(C3,KhoaHoc!$A$2:$C$8,3,0)</f>
        <v>2500000</v>
      </c>
      <c r="G3">
        <f t="shared" ref="G3:G16" si="0">D3*F3</f>
        <v>12500000</v>
      </c>
    </row>
    <row r="4" spans="1:7" x14ac:dyDescent="0.35">
      <c r="A4" t="s">
        <v>12</v>
      </c>
      <c r="B4" t="s">
        <v>13</v>
      </c>
      <c r="C4" t="s">
        <v>14</v>
      </c>
      <c r="D4">
        <v>5</v>
      </c>
      <c r="E4" t="str">
        <f>VLOOKUP(C4,KhoaHoc!$A$2:$C$8,2,0)</f>
        <v>Tieng Nhat N5</v>
      </c>
      <c r="F4">
        <f>VLOOKUP(C4,KhoaHoc!$A$2:$C$8,3,0)</f>
        <v>3500000</v>
      </c>
      <c r="G4">
        <f t="shared" si="0"/>
        <v>17500000</v>
      </c>
    </row>
    <row r="5" spans="1:7" x14ac:dyDescent="0.35">
      <c r="A5" t="s">
        <v>15</v>
      </c>
      <c r="B5" t="s">
        <v>16</v>
      </c>
      <c r="C5" t="s">
        <v>17</v>
      </c>
      <c r="D5">
        <v>3</v>
      </c>
      <c r="E5" t="str">
        <f>VLOOKUP(C5,KhoaHoc!$A$2:$C$8,2,0)</f>
        <v>Tieng Han so cap</v>
      </c>
      <c r="F5">
        <f>VLOOKUP(C5,KhoaHoc!$A$2:$C$8,3,0)</f>
        <v>3200000</v>
      </c>
      <c r="G5">
        <f t="shared" si="0"/>
        <v>9600000</v>
      </c>
    </row>
    <row r="6" spans="1:7" hidden="1" x14ac:dyDescent="0.35">
      <c r="A6" t="s">
        <v>18</v>
      </c>
      <c r="B6" t="s">
        <v>19</v>
      </c>
      <c r="C6" t="s">
        <v>20</v>
      </c>
      <c r="D6">
        <v>1</v>
      </c>
      <c r="E6" t="str">
        <f>VLOOKUP(C6,KhoaHoc!$A$2:$C$8,2,0)</f>
        <v>Tieng Anh tre em</v>
      </c>
      <c r="F6">
        <f>VLOOKUP(C6,KhoaHoc!$A$2:$C$8,3,0)</f>
        <v>2000000</v>
      </c>
      <c r="G6">
        <f t="shared" si="0"/>
        <v>2000000</v>
      </c>
    </row>
    <row r="7" spans="1:7" hidden="1" x14ac:dyDescent="0.35">
      <c r="A7" t="s">
        <v>21</v>
      </c>
      <c r="B7" t="s">
        <v>22</v>
      </c>
      <c r="C7" t="s">
        <v>9</v>
      </c>
      <c r="D7">
        <v>2</v>
      </c>
      <c r="E7" t="str">
        <f>VLOOKUP(C7,KhoaHoc!$A$2:$C$8,2,0)</f>
        <v>Tieng Anh giao tiep</v>
      </c>
      <c r="F7">
        <f>VLOOKUP(C7,KhoaHoc!$A$2:$C$8,3,0)</f>
        <v>2500000</v>
      </c>
      <c r="G7">
        <f t="shared" si="0"/>
        <v>5000000</v>
      </c>
    </row>
    <row r="8" spans="1:7" hidden="1" x14ac:dyDescent="0.35">
      <c r="A8" t="s">
        <v>23</v>
      </c>
      <c r="B8" t="s">
        <v>24</v>
      </c>
      <c r="C8" t="s">
        <v>14</v>
      </c>
      <c r="D8">
        <v>2</v>
      </c>
      <c r="E8" t="str">
        <f>VLOOKUP(C8,KhoaHoc!$A$2:$C$8,2,0)</f>
        <v>Tieng Nhat N5</v>
      </c>
      <c r="F8">
        <f>VLOOKUP(C8,KhoaHoc!$A$2:$C$8,3,0)</f>
        <v>3500000</v>
      </c>
      <c r="G8">
        <f t="shared" si="0"/>
        <v>7000000</v>
      </c>
    </row>
    <row r="9" spans="1:7" x14ac:dyDescent="0.35">
      <c r="A9" t="s">
        <v>25</v>
      </c>
      <c r="B9" t="s">
        <v>26</v>
      </c>
      <c r="C9" t="s">
        <v>14</v>
      </c>
      <c r="D9">
        <v>4</v>
      </c>
      <c r="E9" t="str">
        <f>VLOOKUP(C9,KhoaHoc!$A$2:$C$8,2,0)</f>
        <v>Tieng Nhat N5</v>
      </c>
      <c r="F9">
        <f>VLOOKUP(C9,KhoaHoc!$A$2:$C$8,3,0)</f>
        <v>3500000</v>
      </c>
      <c r="G9">
        <f t="shared" si="0"/>
        <v>14000000</v>
      </c>
    </row>
    <row r="10" spans="1:7" x14ac:dyDescent="0.35">
      <c r="A10" t="s">
        <v>27</v>
      </c>
      <c r="B10" t="s">
        <v>28</v>
      </c>
      <c r="C10" t="s">
        <v>29</v>
      </c>
      <c r="D10">
        <v>4</v>
      </c>
      <c r="E10" t="str">
        <f>VLOOKUP(C10,KhoaHoc!$A$2:$C$8,2,0)</f>
        <v>IELTS nen tang</v>
      </c>
      <c r="F10">
        <f>VLOOKUP(C10,KhoaHoc!$A$2:$C$8,3,0)</f>
        <v>4500000</v>
      </c>
      <c r="G10">
        <f t="shared" si="0"/>
        <v>18000000</v>
      </c>
    </row>
    <row r="11" spans="1:7" hidden="1" x14ac:dyDescent="0.35">
      <c r="A11" t="s">
        <v>30</v>
      </c>
      <c r="B11" t="s">
        <v>31</v>
      </c>
      <c r="C11" t="s">
        <v>17</v>
      </c>
      <c r="D11">
        <v>2</v>
      </c>
      <c r="E11" t="str">
        <f>VLOOKUP(C11,KhoaHoc!$A$2:$C$8,2,0)</f>
        <v>Tieng Han so cap</v>
      </c>
      <c r="F11">
        <f>VLOOKUP(C11,KhoaHoc!$A$2:$C$8,3,0)</f>
        <v>3200000</v>
      </c>
      <c r="G11">
        <f t="shared" si="0"/>
        <v>6400000</v>
      </c>
    </row>
    <row r="12" spans="1:7" hidden="1" x14ac:dyDescent="0.35">
      <c r="A12" t="s">
        <v>32</v>
      </c>
      <c r="B12" t="s">
        <v>33</v>
      </c>
      <c r="C12" t="s">
        <v>34</v>
      </c>
      <c r="D12">
        <v>3</v>
      </c>
      <c r="E12" t="str">
        <f>VLOOKUP(C12,KhoaHoc!$A$2:$C$8,2,0)</f>
        <v>Tieng Trung HSK1</v>
      </c>
      <c r="F12">
        <f>VLOOKUP(C12,KhoaHoc!$A$2:$C$8,3,0)</f>
        <v>2800000</v>
      </c>
      <c r="G12">
        <f t="shared" si="0"/>
        <v>8400000</v>
      </c>
    </row>
    <row r="13" spans="1:7" x14ac:dyDescent="0.35">
      <c r="A13" t="s">
        <v>35</v>
      </c>
      <c r="B13" t="s">
        <v>36</v>
      </c>
      <c r="C13" t="s">
        <v>29</v>
      </c>
      <c r="D13">
        <v>2</v>
      </c>
      <c r="E13" t="str">
        <f>VLOOKUP(C13,KhoaHoc!$A$2:$C$8,2,0)</f>
        <v>IELTS nen tang</v>
      </c>
      <c r="F13">
        <f>VLOOKUP(C13,KhoaHoc!$A$2:$C$8,3,0)</f>
        <v>4500000</v>
      </c>
      <c r="G13">
        <f t="shared" si="0"/>
        <v>9000000</v>
      </c>
    </row>
    <row r="14" spans="1:7" x14ac:dyDescent="0.35">
      <c r="A14" t="s">
        <v>37</v>
      </c>
      <c r="B14" t="s">
        <v>38</v>
      </c>
      <c r="C14" t="s">
        <v>17</v>
      </c>
      <c r="D14">
        <v>4</v>
      </c>
      <c r="E14" t="str">
        <f>VLOOKUP(C14,KhoaHoc!$A$2:$C$8,2,0)</f>
        <v>Tieng Han so cap</v>
      </c>
      <c r="F14">
        <f>VLOOKUP(C14,KhoaHoc!$A$2:$C$8,3,0)</f>
        <v>3200000</v>
      </c>
      <c r="G14">
        <f t="shared" si="0"/>
        <v>12800000</v>
      </c>
    </row>
    <row r="15" spans="1:7" x14ac:dyDescent="0.35">
      <c r="A15" t="s">
        <v>39</v>
      </c>
      <c r="B15" t="s">
        <v>40</v>
      </c>
      <c r="C15" t="s">
        <v>41</v>
      </c>
      <c r="D15">
        <v>5</v>
      </c>
      <c r="E15" t="str">
        <f>VLOOKUP(C15,KhoaHoc!$A$2:$C$8,2,0)</f>
        <v>TOEIC 550</v>
      </c>
      <c r="F15">
        <f>VLOOKUP(C15,KhoaHoc!$A$2:$C$8,3,0)</f>
        <v>3000000</v>
      </c>
      <c r="G15">
        <f t="shared" si="0"/>
        <v>15000000</v>
      </c>
    </row>
    <row r="16" spans="1:7" hidden="1" x14ac:dyDescent="0.35">
      <c r="A16" t="s">
        <v>42</v>
      </c>
      <c r="B16" t="s">
        <v>43</v>
      </c>
      <c r="C16" t="s">
        <v>29</v>
      </c>
      <c r="D16">
        <v>1</v>
      </c>
      <c r="E16" t="str">
        <f>VLOOKUP(C16,KhoaHoc!$A$2:$C$8,2,0)</f>
        <v>IELTS nen tang</v>
      </c>
      <c r="F16">
        <f>VLOOKUP(C16,KhoaHoc!$A$2:$C$8,3,0)</f>
        <v>4500000</v>
      </c>
      <c r="G16">
        <f t="shared" si="0"/>
        <v>4500000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9</v>
      </c>
      <c r="B2" t="s">
        <v>44</v>
      </c>
      <c r="C2">
        <v>2500000</v>
      </c>
    </row>
    <row r="3" spans="1:3" x14ac:dyDescent="0.35">
      <c r="A3" t="s">
        <v>29</v>
      </c>
      <c r="B3" t="s">
        <v>45</v>
      </c>
      <c r="C3">
        <v>4500000</v>
      </c>
    </row>
    <row r="4" spans="1:3" x14ac:dyDescent="0.35">
      <c r="A4" t="s">
        <v>41</v>
      </c>
      <c r="B4" t="s">
        <v>46</v>
      </c>
      <c r="C4">
        <v>3000000</v>
      </c>
    </row>
    <row r="5" spans="1:3" x14ac:dyDescent="0.35">
      <c r="A5" t="s">
        <v>14</v>
      </c>
      <c r="B5" t="s">
        <v>47</v>
      </c>
      <c r="C5">
        <v>3500000</v>
      </c>
    </row>
    <row r="6" spans="1:3" x14ac:dyDescent="0.35">
      <c r="A6" t="s">
        <v>17</v>
      </c>
      <c r="B6" t="s">
        <v>48</v>
      </c>
      <c r="C6">
        <v>3200000</v>
      </c>
    </row>
    <row r="7" spans="1:3" x14ac:dyDescent="0.35">
      <c r="A7" t="s">
        <v>34</v>
      </c>
      <c r="B7" t="s">
        <v>49</v>
      </c>
      <c r="C7">
        <v>2800000</v>
      </c>
    </row>
    <row r="8" spans="1:3" x14ac:dyDescent="0.35">
      <c r="A8" t="s">
        <v>20</v>
      </c>
      <c r="B8" t="s">
        <v>50</v>
      </c>
      <c r="C8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DangKyHoc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 Anh Tuấn</cp:lastModifiedBy>
  <dcterms:created xsi:type="dcterms:W3CDTF">2026-10-27T01:31:57Z</dcterms:created>
  <dcterms:modified xsi:type="dcterms:W3CDTF">2026-10-28T07:31:58Z</dcterms:modified>
</cp:coreProperties>
</file>